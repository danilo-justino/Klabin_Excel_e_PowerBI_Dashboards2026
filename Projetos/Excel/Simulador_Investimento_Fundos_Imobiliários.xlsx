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silva\Downloads\"/>
    </mc:Choice>
  </mc:AlternateContent>
  <xr:revisionPtr revIDLastSave="0" documentId="13_ncr:1_{AC2501AB-7570-44EB-ACEC-F785D9A52105}" xr6:coauthVersionLast="47" xr6:coauthVersionMax="47" xr10:uidLastSave="{00000000-0000-0000-0000-000000000000}"/>
  <bookViews>
    <workbookView xWindow="-28920" yWindow="1170" windowWidth="29040" windowHeight="15720" tabRatio="0" firstSheet="1" activeTab="1" xr2:uid="{61C81C94-2ADA-4F03-89C0-13872CB29B5B}"/>
  </bookViews>
  <sheets>
    <sheet name="Auxiliar" sheetId="1" state="hidden" r:id="rId1"/>
    <sheet name="Planilha2" sheetId="2" r:id="rId2"/>
  </sheets>
  <definedNames>
    <definedName name="Aporte">Planilha2!$D$17</definedName>
    <definedName name="Rendimentos_Carteira">Planilha2!$D$12</definedName>
    <definedName name="Salario">Planilha2!$D$11</definedName>
    <definedName name="Sugestao_de_Investimento">Planilha2!$D$13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41" i="2"/>
  <c r="C40" i="2"/>
  <c r="C42" i="2"/>
  <c r="C43" i="2"/>
  <c r="C44" i="2"/>
  <c r="C39" i="2"/>
  <c r="A27" i="1"/>
  <c r="A26" i="1"/>
  <c r="A25" i="1"/>
  <c r="A24" i="1"/>
  <c r="A23" i="1"/>
  <c r="A22" i="1"/>
  <c r="A18" i="1"/>
  <c r="A19" i="1"/>
  <c r="A20" i="1"/>
  <c r="A21" i="1"/>
  <c r="A17" i="1"/>
  <c r="A16" i="1"/>
  <c r="A11" i="1"/>
  <c r="A12" i="1"/>
  <c r="A13" i="1"/>
  <c r="A14" i="1"/>
  <c r="A15" i="1"/>
  <c r="A10" i="1"/>
  <c r="C35" i="2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D20" i="2"/>
  <c r="D21" i="2" s="1"/>
  <c r="D40" i="2" l="1"/>
  <c r="D39" i="2"/>
  <c r="D44" i="2"/>
  <c r="D43" i="2"/>
  <c r="D42" i="2"/>
  <c r="D41" i="2"/>
  <c r="D45" i="2" l="1"/>
</calcChain>
</file>

<file path=xl/sharedStrings.xml><?xml version="1.0" encoding="utf-8"?>
<sst xmlns="http://schemas.openxmlformats.org/spreadsheetml/2006/main" count="79" uniqueCount="35">
  <si>
    <t>Por quanto anos?</t>
  </si>
  <si>
    <t>Taxa de rendimento mensal?</t>
  </si>
  <si>
    <t>Quanto investir por mês?</t>
  </si>
  <si>
    <t>Patrimônio acumulado?</t>
  </si>
  <si>
    <t>Dividendos mensais?</t>
  </si>
  <si>
    <t xml:space="preserve">INVESTIMENTO MENSAL </t>
  </si>
  <si>
    <t>Quanto em 2 anos?</t>
  </si>
  <si>
    <t>Quanto em 5 anos?</t>
  </si>
  <si>
    <t>Quanto em 10 anos?</t>
  </si>
  <si>
    <t>Quanto em 15 anos?</t>
  </si>
  <si>
    <t>Quanto em 20 anos?</t>
  </si>
  <si>
    <t>Cenários</t>
  </si>
  <si>
    <t>Quanto em 25 anos?</t>
  </si>
  <si>
    <t>Quanto em 30 anos?</t>
  </si>
  <si>
    <t xml:space="preserve">Dividendos </t>
  </si>
  <si>
    <t>Configurações</t>
  </si>
  <si>
    <t>Rendimentos Carteira</t>
  </si>
  <si>
    <t>Salário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</si>
  <si>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</si>
  <si>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</si>
  <si>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</si>
  <si>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</si>
  <si>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</si>
  <si>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</si>
  <si>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</si>
  <si>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</si>
  <si>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</si>
  <si>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</si>
  <si>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</si>
  <si>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</si>
  <si>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</si>
  <si>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Agressivo</t>
  </si>
  <si>
    <t>Moderado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</si>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</sst>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"/>
      <family val="2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rgb="FFC495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medium">
        <color indexed="64"/>
      </bottom>
      <diagonal/>
    </border>
    <border>
      <left style="medium">
        <color auto="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auto="1"/>
      </right>
      <top/>
      <bottom style="medium">
        <color theme="0" tint="-0.14996795556505021"/>
      </bottom>
      <diagonal/>
    </border>
    <border>
      <left style="medium">
        <color auto="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auto="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auto="1"/>
      </left>
      <right/>
      <top style="medium">
        <color theme="0" tint="-0.14996795556505021"/>
      </top>
      <bottom style="medium">
        <color auto="1"/>
      </bottom>
      <diagonal/>
    </border>
    <border>
      <left/>
      <right/>
      <top style="medium">
        <color theme="0" tint="-0.14996795556505021"/>
      </top>
      <bottom style="medium">
        <color auto="1"/>
      </bottom>
      <diagonal/>
    </border>
    <border>
      <left/>
      <right style="medium">
        <color auto="1"/>
      </right>
      <top style="medium">
        <color theme="0" tint="-0.14996795556505021"/>
      </top>
      <bottom style="medium">
        <color auto="1"/>
      </bottom>
      <diagonal/>
    </border>
    <border>
      <left/>
      <right style="thin">
        <color theme="0" tint="-0.14996795556505021"/>
      </right>
      <top/>
      <bottom style="medium">
        <color theme="0" tint="-0.14996795556505021"/>
      </bottom>
      <diagonal/>
    </border>
    <border>
      <left/>
      <right style="thin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2" borderId="9" xfId="0" applyFill="1" applyBorder="1"/>
    <xf numFmtId="8" fontId="6" fillId="3" borderId="6" xfId="0" applyNumberFormat="1" applyFont="1" applyFill="1" applyBorder="1" applyAlignment="1">
      <alignment horizontal="center" vertical="center"/>
    </xf>
    <xf numFmtId="8" fontId="6" fillId="3" borderId="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9" fontId="0" fillId="0" borderId="0" xfId="0" applyNumberFormat="1"/>
    <xf numFmtId="0" fontId="9" fillId="3" borderId="5" xfId="0" applyFont="1" applyFill="1" applyBorder="1"/>
    <xf numFmtId="0" fontId="9" fillId="3" borderId="7" xfId="0" applyFont="1" applyFill="1" applyBorder="1"/>
    <xf numFmtId="164" fontId="0" fillId="3" borderId="10" xfId="1" applyNumberFormat="1" applyFon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0" fontId="3" fillId="0" borderId="23" xfId="0" applyNumberFormat="1" applyFont="1" applyBorder="1" applyAlignment="1">
      <alignment horizontal="center" vertical="center"/>
    </xf>
    <xf numFmtId="8" fontId="3" fillId="3" borderId="23" xfId="0" applyNumberFormat="1" applyFont="1" applyFill="1" applyBorder="1" applyAlignment="1">
      <alignment horizontal="center" vertical="center"/>
    </xf>
    <xf numFmtId="8" fontId="3" fillId="3" borderId="25" xfId="0" applyNumberFormat="1" applyFont="1" applyFill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0" fontId="5" fillId="4" borderId="0" xfId="3" applyBorder="1"/>
    <xf numFmtId="0" fontId="5" fillId="4" borderId="0" xfId="3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/>
    <xf numFmtId="0" fontId="0" fillId="7" borderId="0" xfId="0" applyFill="1"/>
    <xf numFmtId="0" fontId="0" fillId="0" borderId="9" xfId="0" applyBorder="1"/>
    <xf numFmtId="0" fontId="0" fillId="0" borderId="9" xfId="0" applyBorder="1" applyAlignment="1">
      <alignment horizontal="center" vertical="center"/>
    </xf>
    <xf numFmtId="9" fontId="0" fillId="0" borderId="9" xfId="0" applyNumberFormat="1" applyBorder="1"/>
    <xf numFmtId="0" fontId="12" fillId="7" borderId="0" xfId="3" applyFont="1" applyFill="1" applyBorder="1"/>
    <xf numFmtId="9" fontId="0" fillId="0" borderId="0" xfId="2" applyFont="1"/>
    <xf numFmtId="164" fontId="0" fillId="0" borderId="0" xfId="0" applyNumberFormat="1"/>
    <xf numFmtId="164" fontId="1" fillId="7" borderId="0" xfId="0" applyNumberFormat="1" applyFont="1" applyFill="1"/>
    <xf numFmtId="0" fontId="11" fillId="4" borderId="0" xfId="3" applyFont="1" applyAlignment="1">
      <alignment horizontal="center" vertical="center"/>
    </xf>
    <xf numFmtId="0" fontId="10" fillId="3" borderId="18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1" defaultTableStyle="TableStyleMedium2" defaultPivotStyle="PivotStyleLight16">
    <tableStyle name="Invisible" pivot="0" table="0" count="0" xr9:uid="{8C6F50B5-CFCE-4F9F-955D-B85F56FF521B}"/>
  </tableStyles>
  <colors>
    <mruColors>
      <color rgb="FFC4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91-407C-8CE5-D1F3278AD6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91-407C-8CE5-D1F3278AD6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91-407C-8CE5-D1F3278AD6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91-407C-8CE5-D1F3278AD6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91-407C-8CE5-D1F3278AD6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91-407C-8CE5-D1F3278AD6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Planilha2!$C$39:$C$44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F-47FF-B812-282B68CFF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588645</xdr:colOff>
      <xdr:row>1</xdr:row>
      <xdr:rowOff>87630</xdr:rowOff>
    </xdr:from>
    <xdr:to>
      <xdr:col>5</xdr:col>
      <xdr:colOff>19050</xdr:colOff>
      <xdr:row>7</xdr:row>
      <xdr:rowOff>72390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492F302-F96F-A449-519B-007426282D2E}"/>
            </a:ext>
          </a:extLst>
        </xdr:cNvPr>
        <xdr:cNvSpPr/>
      </xdr:nvSpPr>
      <xdr:spPr>
        <a:xfrm>
          <a:off x="588645" y="268605"/>
          <a:ext cx="5354955" cy="107061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1011554</xdr:colOff>
      <xdr:row>1</xdr:row>
      <xdr:rowOff>133350</xdr:rowOff>
    </xdr:from>
    <xdr:to>
      <xdr:col>3</xdr:col>
      <xdr:colOff>480059</xdr:colOff>
      <xdr:row>5</xdr:row>
      <xdr:rowOff>24765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C13B250-9280-4DC0-FA8F-BED68A81C8C3}"/>
            </a:ext>
          </a:extLst>
        </xdr:cNvPr>
        <xdr:cNvSpPr txBox="1"/>
      </xdr:nvSpPr>
      <xdr:spPr>
        <a:xfrm>
          <a:off x="1621154" y="314325"/>
          <a:ext cx="3773805" cy="615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>
              <a:solidFill>
                <a:schemeClr val="bg1"/>
              </a:solidFill>
            </a:rPr>
            <a:t>SEU INVEST </a:t>
          </a:r>
        </a:p>
      </xdr:txBody>
    </xdr:sp>
    <xdr:clientData/>
  </xdr:twoCellAnchor>
  <xdr:twoCellAnchor editAs="oneCell">
    <xdr:from>
      <xdr:col>1</xdr:col>
      <xdr:colOff>130216</xdr:colOff>
      <xdr:row>1</xdr:row>
      <xdr:rowOff>102868</xdr:rowOff>
    </xdr:from>
    <xdr:to>
      <xdr:col>1</xdr:col>
      <xdr:colOff>1676400</xdr:colOff>
      <xdr:row>7</xdr:row>
      <xdr:rowOff>74058</xdr:rowOff>
    </xdr:to>
    <xdr:pic>
      <xdr:nvPicPr>
        <xdr:cNvPr id="11" name="Imagem 10" descr="Ícones digitais de ações em close-up">
          <a:extLst>
            <a:ext uri="{FF2B5EF4-FFF2-40B4-BE49-F238E27FC236}">
              <a16:creationId xmlns:a16="http://schemas.microsoft.com/office/drawing/2014/main" id="{7A4878F9-A099-E8AE-9AA7-0235B0D6A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816" y="283843"/>
          <a:ext cx="1546184" cy="1057040"/>
        </a:xfrm>
        <a:prstGeom prst="rect">
          <a:avLst/>
        </a:prstGeom>
      </xdr:spPr>
    </xdr:pic>
    <xdr:clientData/>
  </xdr:twoCellAnchor>
  <xdr:twoCellAnchor>
    <xdr:from>
      <xdr:col>1</xdr:col>
      <xdr:colOff>2125979</xdr:colOff>
      <xdr:row>3</xdr:row>
      <xdr:rowOff>140970</xdr:rowOff>
    </xdr:from>
    <xdr:to>
      <xdr:col>7</xdr:col>
      <xdr:colOff>175259</xdr:colOff>
      <xdr:row>7</xdr:row>
      <xdr:rowOff>34290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EEE175FF-B34D-4DB9-B551-A7A961DBDFE8}"/>
            </a:ext>
          </a:extLst>
        </xdr:cNvPr>
        <xdr:cNvSpPr txBox="1"/>
      </xdr:nvSpPr>
      <xdr:spPr>
        <a:xfrm>
          <a:off x="2735579" y="683895"/>
          <a:ext cx="3773805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solidFill>
                <a:schemeClr val="bg1"/>
              </a:solidFill>
            </a:rPr>
            <a:t>FUNDOS</a:t>
          </a:r>
          <a:r>
            <a:rPr lang="pt-BR" sz="2400" b="1" baseline="0">
              <a:solidFill>
                <a:schemeClr val="bg1"/>
              </a:solidFill>
            </a:rPr>
            <a:t> IMOBILIÁRIOS</a:t>
          </a:r>
          <a:endParaRPr lang="pt-BR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571500</xdr:colOff>
      <xdr:row>45</xdr:row>
      <xdr:rowOff>100965</xdr:rowOff>
    </xdr:from>
    <xdr:to>
      <xdr:col>4</xdr:col>
      <xdr:colOff>15240</xdr:colOff>
      <xdr:row>60</xdr:row>
      <xdr:rowOff>158115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A51AB8B-3DDB-B63A-5977-D0F7356AF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0D03-68DD-47CC-8565-B9E40A1F104F}">
  <dimension ref="A1:I27"/>
  <sheetViews>
    <sheetView workbookViewId="0">
      <selection activeCell="D22" sqref="D22"/>
    </sheetView>
  </sheetViews>
  <sheetFormatPr defaultRowHeight="14.4" x14ac:dyDescent="0.3"/>
  <cols>
    <col min="1" max="1" width="30" bestFit="1" customWidth="1"/>
    <col min="2" max="2" width="29.33203125" customWidth="1"/>
    <col min="3" max="3" width="18" bestFit="1" customWidth="1"/>
    <col min="6" max="6" width="12.21875" customWidth="1"/>
  </cols>
  <sheetData>
    <row r="1" spans="1:9" x14ac:dyDescent="0.3">
      <c r="B1" t="s">
        <v>2</v>
      </c>
    </row>
    <row r="2" spans="1:9" x14ac:dyDescent="0.3">
      <c r="B2" t="s">
        <v>0</v>
      </c>
      <c r="F2" t="s">
        <v>31</v>
      </c>
    </row>
    <row r="3" spans="1:9" x14ac:dyDescent="0.3">
      <c r="B3" t="s">
        <v>1</v>
      </c>
      <c r="F3" t="s">
        <v>29</v>
      </c>
    </row>
    <row r="4" spans="1:9" x14ac:dyDescent="0.3">
      <c r="F4" t="s">
        <v>32</v>
      </c>
    </row>
    <row r="5" spans="1:9" x14ac:dyDescent="0.3">
      <c r="B5" t="s">
        <v>3</v>
      </c>
    </row>
    <row r="6" spans="1:9" x14ac:dyDescent="0.3">
      <c r="B6" t="s">
        <v>4</v>
      </c>
    </row>
    <row r="8" spans="1:9" x14ac:dyDescent="0.3">
      <c r="H8" s="21"/>
      <c r="I8" s="21"/>
    </row>
    <row r="9" spans="1:9" x14ac:dyDescent="0.3">
      <c r="A9" s="27" t="s">
        <v>33</v>
      </c>
      <c r="B9" s="32" t="s">
        <v>19</v>
      </c>
      <c r="C9" s="26" t="s">
        <v>20</v>
      </c>
      <c r="D9" s="26" t="s">
        <v>30</v>
      </c>
    </row>
    <row r="10" spans="1:9" x14ac:dyDescent="0.3">
      <c r="A10" t="str">
        <f>B10&amp;"-"&amp;C10</f>
        <v>Conservador-PAPEL</v>
      </c>
      <c r="B10" t="s">
        <v>29</v>
      </c>
      <c r="C10" s="25" t="s">
        <v>23</v>
      </c>
      <c r="D10" s="7">
        <v>0.3</v>
      </c>
    </row>
    <row r="11" spans="1:9" x14ac:dyDescent="0.3">
      <c r="A11" t="str">
        <f t="shared" ref="A11:A15" si="0">B11&amp;"-"&amp;C11</f>
        <v>Conservador-TIJOLO</v>
      </c>
      <c r="B11" t="s">
        <v>29</v>
      </c>
      <c r="C11" s="25" t="s">
        <v>24</v>
      </c>
      <c r="D11" s="7">
        <v>0.5</v>
      </c>
    </row>
    <row r="12" spans="1:9" x14ac:dyDescent="0.3">
      <c r="A12" t="str">
        <f t="shared" si="0"/>
        <v>Conservador-HÍBRIDOS</v>
      </c>
      <c r="B12" t="s">
        <v>29</v>
      </c>
      <c r="C12" s="25" t="s">
        <v>25</v>
      </c>
      <c r="D12" s="7">
        <v>0.1</v>
      </c>
    </row>
    <row r="13" spans="1:9" x14ac:dyDescent="0.3">
      <c r="A13" t="str">
        <f t="shared" si="0"/>
        <v>Conservador-FOFs</v>
      </c>
      <c r="B13" t="s">
        <v>29</v>
      </c>
      <c r="C13" s="25" t="s">
        <v>26</v>
      </c>
      <c r="D13" s="7">
        <v>0.1</v>
      </c>
    </row>
    <row r="14" spans="1:9" x14ac:dyDescent="0.3">
      <c r="A14" t="str">
        <f t="shared" si="0"/>
        <v>Conservador-DESENVOLVIMENTO</v>
      </c>
      <c r="B14" t="s">
        <v>29</v>
      </c>
      <c r="C14" s="25" t="s">
        <v>27</v>
      </c>
      <c r="D14" s="7">
        <v>0</v>
      </c>
    </row>
    <row r="15" spans="1:9" ht="15" thickBot="1" x14ac:dyDescent="0.35">
      <c r="A15" t="str">
        <f t="shared" si="0"/>
        <v>Conservador-HOTELARIAS</v>
      </c>
      <c r="B15" t="s">
        <v>29</v>
      </c>
      <c r="C15" s="25" t="s">
        <v>28</v>
      </c>
      <c r="D15" s="7">
        <v>0</v>
      </c>
    </row>
    <row r="16" spans="1:9" x14ac:dyDescent="0.3">
      <c r="A16" s="29" t="str">
        <f>B16&amp;"-"&amp;C16</f>
        <v>Moderado-PAPEL</v>
      </c>
      <c r="B16" s="29" t="s">
        <v>32</v>
      </c>
      <c r="C16" s="30" t="s">
        <v>23</v>
      </c>
      <c r="D16" s="31">
        <v>0.32</v>
      </c>
    </row>
    <row r="17" spans="1:4" x14ac:dyDescent="0.3">
      <c r="A17" t="str">
        <f>B17&amp;"-"&amp;C17</f>
        <v>Moderado-TIJOLO</v>
      </c>
      <c r="B17" t="s">
        <v>32</v>
      </c>
      <c r="C17" s="25" t="s">
        <v>24</v>
      </c>
      <c r="D17" s="7">
        <v>0.4</v>
      </c>
    </row>
    <row r="18" spans="1:4" x14ac:dyDescent="0.3">
      <c r="A18" t="str">
        <f t="shared" ref="A18:A27" si="1">B18&amp;"-"&amp;C18</f>
        <v>Moderado-HÍBRIDOS</v>
      </c>
      <c r="B18" t="s">
        <v>32</v>
      </c>
      <c r="C18" s="25" t="s">
        <v>25</v>
      </c>
      <c r="D18" s="7">
        <v>0.08</v>
      </c>
    </row>
    <row r="19" spans="1:4" x14ac:dyDescent="0.3">
      <c r="A19" t="str">
        <f t="shared" si="1"/>
        <v>Moderado-FOFs</v>
      </c>
      <c r="B19" t="s">
        <v>32</v>
      </c>
      <c r="C19" s="25" t="s">
        <v>26</v>
      </c>
      <c r="D19" s="7">
        <v>0.1</v>
      </c>
    </row>
    <row r="20" spans="1:4" x14ac:dyDescent="0.3">
      <c r="A20" t="str">
        <f t="shared" si="1"/>
        <v>Moderado-DESENVOLVIMENTO</v>
      </c>
      <c r="B20" t="s">
        <v>32</v>
      </c>
      <c r="C20" s="25" t="s">
        <v>27</v>
      </c>
      <c r="D20" s="7">
        <v>0.05</v>
      </c>
    </row>
    <row r="21" spans="1:4" ht="15" thickBot="1" x14ac:dyDescent="0.35">
      <c r="A21" t="str">
        <f t="shared" si="1"/>
        <v>Moderado-HOTELARIAS</v>
      </c>
      <c r="B21" t="s">
        <v>32</v>
      </c>
      <c r="C21" s="25" t="s">
        <v>28</v>
      </c>
      <c r="D21" s="7">
        <v>0.05</v>
      </c>
    </row>
    <row r="22" spans="1:4" x14ac:dyDescent="0.3">
      <c r="A22" s="29" t="str">
        <f t="shared" si="1"/>
        <v>Agressivo-PAPEL</v>
      </c>
      <c r="B22" s="29" t="s">
        <v>31</v>
      </c>
      <c r="C22" s="30" t="s">
        <v>23</v>
      </c>
      <c r="D22" s="31">
        <v>0.5</v>
      </c>
    </row>
    <row r="23" spans="1:4" x14ac:dyDescent="0.3">
      <c r="A23" t="str">
        <f t="shared" si="1"/>
        <v>Agressivo-TIJOLO</v>
      </c>
      <c r="B23" t="s">
        <v>31</v>
      </c>
      <c r="C23" s="25" t="s">
        <v>24</v>
      </c>
      <c r="D23" s="7">
        <v>0.1</v>
      </c>
    </row>
    <row r="24" spans="1:4" x14ac:dyDescent="0.3">
      <c r="A24" t="str">
        <f t="shared" si="1"/>
        <v>Agressivo-HÍBRIDOS</v>
      </c>
      <c r="B24" t="s">
        <v>31</v>
      </c>
      <c r="C24" s="25" t="s">
        <v>25</v>
      </c>
      <c r="D24" s="7">
        <v>0.05</v>
      </c>
    </row>
    <row r="25" spans="1:4" x14ac:dyDescent="0.3">
      <c r="A25" t="str">
        <f t="shared" si="1"/>
        <v>Agressivo-FOFs</v>
      </c>
      <c r="B25" t="s">
        <v>31</v>
      </c>
      <c r="C25" s="25" t="s">
        <v>26</v>
      </c>
      <c r="D25" s="7">
        <v>0.05</v>
      </c>
    </row>
    <row r="26" spans="1:4" x14ac:dyDescent="0.3">
      <c r="A26" t="str">
        <f t="shared" si="1"/>
        <v>Agressivo-DESENVOLVIMENTO</v>
      </c>
      <c r="B26" t="s">
        <v>31</v>
      </c>
      <c r="C26" s="25" t="s">
        <v>27</v>
      </c>
      <c r="D26" s="7">
        <v>0.2</v>
      </c>
    </row>
    <row r="27" spans="1:4" x14ac:dyDescent="0.3">
      <c r="A27" t="str">
        <f t="shared" si="1"/>
        <v>Agressivo-HOTELARIAS</v>
      </c>
      <c r="B27" t="s">
        <v>31</v>
      </c>
      <c r="C27" s="25" t="s">
        <v>28</v>
      </c>
      <c r="D27" s="7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7106-5C8D-4CD2-BEA7-B6BDB9CBC69E}">
  <dimension ref="A9:I70"/>
  <sheetViews>
    <sheetView showGridLines="0" showRowColHeaders="0" tabSelected="1" topLeftCell="A2" workbookViewId="0">
      <selection activeCell="D11" sqref="D11"/>
    </sheetView>
  </sheetViews>
  <sheetFormatPr defaultColWidth="0" defaultRowHeight="14.4" x14ac:dyDescent="0.3"/>
  <cols>
    <col min="1" max="1" width="8.88671875" customWidth="1"/>
    <col min="2" max="2" width="39.33203125" customWidth="1"/>
    <col min="3" max="3" width="23.44140625" customWidth="1"/>
    <col min="4" max="4" width="17.44140625" customWidth="1"/>
    <col min="5" max="5" width="0.21875" customWidth="1"/>
    <col min="6" max="6" width="1.5546875" customWidth="1"/>
    <col min="7" max="7" width="1.33203125" customWidth="1"/>
    <col min="8" max="8" width="3.44140625" customWidth="1"/>
    <col min="9" max="11" width="8.88671875" hidden="1" customWidth="1"/>
    <col min="12" max="16384" width="8.88671875" hidden="1"/>
  </cols>
  <sheetData>
    <row r="9" spans="2:4" ht="15" thickBot="1" x14ac:dyDescent="0.35"/>
    <row r="10" spans="2:4" ht="23.4" x14ac:dyDescent="0.3">
      <c r="B10" s="51" t="s">
        <v>15</v>
      </c>
      <c r="C10" s="52"/>
      <c r="D10" s="53"/>
    </row>
    <row r="11" spans="2:4" ht="16.2" thickBot="1" x14ac:dyDescent="0.35">
      <c r="B11" s="45" t="s">
        <v>17</v>
      </c>
      <c r="C11" s="46"/>
      <c r="D11" s="12">
        <v>4500</v>
      </c>
    </row>
    <row r="12" spans="2:4" ht="16.2" thickBot="1" x14ac:dyDescent="0.35">
      <c r="B12" s="47" t="s">
        <v>16</v>
      </c>
      <c r="C12" s="48"/>
      <c r="D12" s="13">
        <v>8.5000000000000006E-3</v>
      </c>
    </row>
    <row r="13" spans="2:4" ht="16.2" thickBot="1" x14ac:dyDescent="0.35">
      <c r="B13" s="49" t="s">
        <v>34</v>
      </c>
      <c r="C13" s="50"/>
      <c r="D13" s="14">
        <f>Salario*30%</f>
        <v>1350</v>
      </c>
    </row>
    <row r="14" spans="2:4" ht="15" thickBot="1" x14ac:dyDescent="0.35"/>
    <row r="15" spans="2:4" ht="29.4" customHeight="1" x14ac:dyDescent="0.3">
      <c r="B15" s="39" t="s">
        <v>5</v>
      </c>
      <c r="C15" s="40"/>
      <c r="D15" s="41"/>
    </row>
    <row r="16" spans="2:4" ht="15" customHeight="1" x14ac:dyDescent="0.3">
      <c r="B16" s="42"/>
      <c r="C16" s="43"/>
      <c r="D16" s="44"/>
    </row>
    <row r="17" spans="2:9" ht="19.8" thickBot="1" x14ac:dyDescent="0.5">
      <c r="B17" s="54" t="s">
        <v>2</v>
      </c>
      <c r="C17" s="55"/>
      <c r="D17" s="19">
        <v>525</v>
      </c>
    </row>
    <row r="18" spans="2:9" ht="19.8" thickBot="1" x14ac:dyDescent="0.5">
      <c r="B18" s="56" t="s">
        <v>0</v>
      </c>
      <c r="C18" s="57"/>
      <c r="D18" s="15">
        <v>10</v>
      </c>
    </row>
    <row r="19" spans="2:9" ht="19.8" thickBot="1" x14ac:dyDescent="0.5">
      <c r="B19" s="56" t="s">
        <v>1</v>
      </c>
      <c r="C19" s="57"/>
      <c r="D19" s="16">
        <v>1.0789999999999999E-2</v>
      </c>
      <c r="I19" s="1"/>
    </row>
    <row r="20" spans="2:9" ht="19.8" thickBot="1" x14ac:dyDescent="0.5">
      <c r="B20" s="58" t="s">
        <v>3</v>
      </c>
      <c r="C20" s="59"/>
      <c r="D20" s="17">
        <f>FV(D19,D18*12,Aporte)*(-1)</f>
        <v>127724.2115783404</v>
      </c>
    </row>
    <row r="21" spans="2:9" ht="19.8" thickBot="1" x14ac:dyDescent="0.5">
      <c r="B21" s="37" t="s">
        <v>4</v>
      </c>
      <c r="C21" s="38"/>
      <c r="D21" s="18">
        <f>D20*Rendimentos_Carteira</f>
        <v>1085.6557984158935</v>
      </c>
    </row>
    <row r="23" spans="2:9" ht="15" thickBot="1" x14ac:dyDescent="0.35"/>
    <row r="24" spans="2:9" ht="30.6" customHeight="1" x14ac:dyDescent="0.3">
      <c r="B24" s="2" t="s">
        <v>11</v>
      </c>
      <c r="C24" s="3"/>
      <c r="D24" s="6" t="s">
        <v>14</v>
      </c>
    </row>
    <row r="25" spans="2:9" ht="19.2" x14ac:dyDescent="0.45">
      <c r="B25" s="8" t="s">
        <v>6</v>
      </c>
      <c r="C25" s="10">
        <f>FV(D19,2*12,Aporte)*(-1)</f>
        <v>14294.504331263739</v>
      </c>
      <c r="D25" s="4">
        <f t="shared" ref="D25:D31" si="0">C25*Rendimentos_Carteira</f>
        <v>121.50328681574179</v>
      </c>
    </row>
    <row r="26" spans="2:9" ht="19.2" x14ac:dyDescent="0.45">
      <c r="B26" s="8" t="s">
        <v>7</v>
      </c>
      <c r="C26" s="10">
        <f>FV(D19,5*12,Aporte)*(-1)</f>
        <v>43982.879849206016</v>
      </c>
      <c r="D26" s="4">
        <f t="shared" si="0"/>
        <v>373.85447871825119</v>
      </c>
    </row>
    <row r="27" spans="2:9" ht="19.2" x14ac:dyDescent="0.45">
      <c r="B27" s="8" t="s">
        <v>8</v>
      </c>
      <c r="C27" s="10">
        <f>FV(D19,10*12,Aporte)*(-1)</f>
        <v>127724.2115783404</v>
      </c>
      <c r="D27" s="4">
        <f t="shared" si="0"/>
        <v>1085.6557984158935</v>
      </c>
    </row>
    <row r="28" spans="2:9" ht="19.2" x14ac:dyDescent="0.45">
      <c r="B28" s="8" t="s">
        <v>9</v>
      </c>
      <c r="C28" s="10">
        <f>FV(D19,15*12,Aporte)*(-1)</f>
        <v>287163.76314502844</v>
      </c>
      <c r="D28" s="4">
        <f t="shared" si="0"/>
        <v>2440.8919867327418</v>
      </c>
    </row>
    <row r="29" spans="2:9" ht="19.2" x14ac:dyDescent="0.45">
      <c r="B29" s="8" t="s">
        <v>10</v>
      </c>
      <c r="C29" s="10">
        <f>FV(D19,20*12,Aporte)*(-1)</f>
        <v>590729.16005096736</v>
      </c>
      <c r="D29" s="4">
        <f t="shared" si="0"/>
        <v>5021.1978604332226</v>
      </c>
    </row>
    <row r="30" spans="2:9" ht="19.2" x14ac:dyDescent="0.45">
      <c r="B30" s="8" t="s">
        <v>12</v>
      </c>
      <c r="C30" s="10">
        <f>FV(D19,25*12,Aporte)*(-1)</f>
        <v>1168703.3784500719</v>
      </c>
      <c r="D30" s="4">
        <f t="shared" si="0"/>
        <v>9933.9787168256116</v>
      </c>
    </row>
    <row r="31" spans="2:9" ht="19.8" thickBot="1" x14ac:dyDescent="0.5">
      <c r="B31" s="9" t="s">
        <v>13</v>
      </c>
      <c r="C31" s="11">
        <f>FV(D19,30*12,Aporte)*(-1)</f>
        <v>2269139.0688774753</v>
      </c>
      <c r="D31" s="5">
        <f t="shared" si="0"/>
        <v>19287.682085458542</v>
      </c>
    </row>
    <row r="34" spans="2:4" x14ac:dyDescent="0.3">
      <c r="B34" s="20" t="s">
        <v>19</v>
      </c>
      <c r="C34" s="36" t="s">
        <v>29</v>
      </c>
      <c r="D34" s="21"/>
    </row>
    <row r="35" spans="2:4" x14ac:dyDescent="0.3">
      <c r="B35" s="23" t="s">
        <v>18</v>
      </c>
      <c r="C35" s="24">
        <f>Aporte</f>
        <v>525</v>
      </c>
      <c r="D35" s="22"/>
    </row>
    <row r="38" spans="2:4" x14ac:dyDescent="0.3">
      <c r="B38" s="26" t="s">
        <v>20</v>
      </c>
      <c r="C38" s="27" t="s">
        <v>21</v>
      </c>
      <c r="D38" s="27" t="s">
        <v>22</v>
      </c>
    </row>
    <row r="39" spans="2:4" x14ac:dyDescent="0.3">
      <c r="B39" s="25" t="s">
        <v>23</v>
      </c>
      <c r="C39" s="33">
        <f>VLOOKUP($C$34&amp;"-"&amp;B39,Auxiliar!$A$10:$D$27,4,FALSE)</f>
        <v>0.3</v>
      </c>
      <c r="D39" s="34">
        <f>C39*$C$35</f>
        <v>157.5</v>
      </c>
    </row>
    <row r="40" spans="2:4" x14ac:dyDescent="0.3">
      <c r="B40" s="25" t="s">
        <v>24</v>
      </c>
      <c r="C40" s="33">
        <f>VLOOKUP($C$34&amp;"-"&amp;B40,Auxiliar!$A$10:$D$27,4,FALSE)</f>
        <v>0.5</v>
      </c>
      <c r="D40" s="34">
        <f t="shared" ref="D40:D44" si="1">C40*$C$35</f>
        <v>262.5</v>
      </c>
    </row>
    <row r="41" spans="2:4" x14ac:dyDescent="0.3">
      <c r="B41" s="25" t="s">
        <v>25</v>
      </c>
      <c r="C41" s="33">
        <f>VLOOKUP($C$34&amp;"-"&amp;B41,Auxiliar!$A$10:$D$27,4,FALSE)</f>
        <v>0.1</v>
      </c>
      <c r="D41" s="34">
        <f t="shared" si="1"/>
        <v>52.5</v>
      </c>
    </row>
    <row r="42" spans="2:4" x14ac:dyDescent="0.3">
      <c r="B42" s="25" t="s">
        <v>26</v>
      </c>
      <c r="C42" s="33">
        <f>VLOOKUP($C$34&amp;"-"&amp;B42,Auxiliar!$A$10:$D$27,4,FALSE)</f>
        <v>0.1</v>
      </c>
      <c r="D42" s="34">
        <f t="shared" si="1"/>
        <v>52.5</v>
      </c>
    </row>
    <row r="43" spans="2:4" x14ac:dyDescent="0.3">
      <c r="B43" s="25" t="s">
        <v>27</v>
      </c>
      <c r="C43" s="33">
        <f>VLOOKUP($C$34&amp;"-"&amp;B43,Auxiliar!$A$10:$D$27,4,FALSE)</f>
        <v>0</v>
      </c>
      <c r="D43" s="34">
        <f t="shared" si="1"/>
        <v>0</v>
      </c>
    </row>
    <row r="44" spans="2:4" x14ac:dyDescent="0.3">
      <c r="B44" s="25" t="s">
        <v>28</v>
      </c>
      <c r="C44" s="33">
        <f>VLOOKUP($C$34&amp;"-"&amp;B44,Auxiliar!$A$10:$D$27,4,FALSE)</f>
        <v>0</v>
      </c>
      <c r="D44" s="34">
        <f t="shared" si="1"/>
        <v>0</v>
      </c>
    </row>
    <row r="45" spans="2:4" x14ac:dyDescent="0.3">
      <c r="B45" s="28"/>
      <c r="C45" s="28"/>
      <c r="D45" s="35">
        <f>SUM(D39:D44)</f>
        <v>525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</sheetData>
  <mergeCells count="10">
    <mergeCell ref="B10:D10"/>
    <mergeCell ref="B17:C17"/>
    <mergeCell ref="B18:C18"/>
    <mergeCell ref="B19:C19"/>
    <mergeCell ref="B20:C20"/>
    <mergeCell ref="B21:C21"/>
    <mergeCell ref="B15:D16"/>
    <mergeCell ref="B11:C11"/>
    <mergeCell ref="B12:C12"/>
    <mergeCell ref="B13:C1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1E6CF5-AE47-4D20-907F-0F88876E9D16}">
          <x14:formula1>
            <xm:f>Auxiliar!$F$2:$F$4</xm:f>
          </x14:formula1>
          <xm:sqref>C34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Auxiliar</vt:lpstr>
      <vt:lpstr>Planilha2</vt:lpstr>
      <vt:lpstr>Aporte</vt:lpstr>
      <vt:lpstr>Rendimentos_Carteira</vt:lpstr>
      <vt:lpstr>Salario</vt:lpstr>
      <vt:lpstr>Sugestao_de_Investimento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Justino da Silva</dc:creator>
  <cp:lastModifiedBy>Danilo Justino da Silva</cp:lastModifiedBy>
  <dcterms:created xsi:type="dcterms:W3CDTF">2026-02-27T19:22:23Z</dcterms:created>
  <dcterms:modified xsi:type="dcterms:W3CDTF">2026-04-07T22:05:15Z</dcterms:modified>
</cp:coreProperties>
</file>